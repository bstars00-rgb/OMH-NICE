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대시보드" sheetId="1" state="visible" r:id="rId1"/>
    <sheet xmlns:r="http://schemas.openxmlformats.org/officeDocument/2006/relationships" name="08_설정" sheetId="2" state="visible" r:id="rId2"/>
    <sheet xmlns:r="http://schemas.openxmlformats.org/officeDocument/2006/relationships" name="01_업체정보" sheetId="3" state="visible" r:id="rId3"/>
    <sheet xmlns:r="http://schemas.openxmlformats.org/officeDocument/2006/relationships" name="02_거래조건" sheetId="4" state="visible" r:id="rId4"/>
    <sheet xmlns:r="http://schemas.openxmlformats.org/officeDocument/2006/relationships" name="03_제출서류" sheetId="5" state="visible" r:id="rId5"/>
    <sheet xmlns:r="http://schemas.openxmlformats.org/officeDocument/2006/relationships" name="04_외부공개정보" sheetId="6" state="visible" r:id="rId6"/>
    <sheet xmlns:r="http://schemas.openxmlformats.org/officeDocument/2006/relationships" name="05_리스크평가" sheetId="7" state="visible" r:id="rId7"/>
    <sheet xmlns:r="http://schemas.openxmlformats.org/officeDocument/2006/relationships" name="06_승인요청서" sheetId="8" state="visible" r:id="rId8"/>
    <sheet xmlns:r="http://schemas.openxmlformats.org/officeDocument/2006/relationships" name="07_승인이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&quot;x&quot;"/>
    <numFmt numFmtId="166" formatCode="0.0"/>
  </numFmts>
  <fonts count="11">
    <font>
      <name val="Calibri"/>
      <family val="2"/>
      <color theme="1"/>
      <sz val="11"/>
      <scheme val="minor"/>
    </font>
    <font>
      <name val="Malgun Gothic"/>
      <b val="1"/>
      <color rgb="00000000"/>
      <sz val="12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color rgb="000000FF"/>
    </font>
    <font>
      <name val="Malgun Gothic"/>
      <color rgb="00000000"/>
      <sz val="10"/>
    </font>
    <font>
      <name val="Malgun Gothic"/>
      <b val="1"/>
      <color rgb="00808080"/>
      <sz val="10"/>
    </font>
    <font>
      <name val="Malgun Gothic"/>
      <color rgb="00008000"/>
    </font>
    <font>
      <name val="Malgun Gothic"/>
      <b val="1"/>
      <color rgb="00000000"/>
      <sz val="14"/>
    </font>
    <font>
      <name val="Malgun Gothic"/>
      <b val="1"/>
      <color rgb="001F4E78"/>
      <sz val="16"/>
    </font>
    <font>
      <name val="Malgun Gothic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11" customWidth="1" min="5" max="5"/>
    <col width="13" customWidth="1" min="6" max="6"/>
    <col width="13" customWidth="1" min="7" max="7"/>
    <col width="34" customWidth="1" min="8" max="8"/>
  </cols>
  <sheetData>
    <row r="1">
      <c r="A1" s="1" t="inlineStr">
        <is>
          <t>OMH Partner Risk Gate — MVP 대시보드</t>
        </is>
      </c>
    </row>
    <row r="2">
      <c r="A2" s="2" t="inlineStr">
        <is>
          <t>신규 B2B/TMC 파트너 리스크 표준 평가 · 대표이사 승인 보조 도구</t>
        </is>
      </c>
    </row>
    <row r="4">
      <c r="A4" s="3" t="inlineStr">
        <is>
          <t>■ 사용 순서</t>
        </is>
      </c>
    </row>
    <row r="5">
      <c r="A5" s="4" t="inlineStr">
        <is>
          <t>1) 01_업체정보 · 02_거래조건 입력 (노랑 셀=핵심 가정, 실제 값으로 갱신)</t>
        </is>
      </c>
    </row>
    <row r="6">
      <c r="A6" s="4" t="inlineStr">
        <is>
          <t>2) 03_제출서류 · 04_외부공개정보 체크</t>
        </is>
      </c>
    </row>
    <row r="7">
      <c r="A7" s="4" t="inlineStr">
        <is>
          <t>3) 05_리스크평가에서 13개 항목 1~5점 입력 → 가중점수·최종판정 자동</t>
        </is>
      </c>
    </row>
    <row r="8">
      <c r="A8" s="4" t="inlineStr">
        <is>
          <t>4) 06_승인요청서에서 업체ID 선택 → 대표이사 보고서 자동 생성</t>
        </is>
      </c>
    </row>
    <row r="9">
      <c r="A9" s="4" t="inlineStr">
        <is>
          <t>5) 07_승인이력에 단계별 결정 기록</t>
        </is>
      </c>
    </row>
    <row r="10">
      <c r="A10" s="4" t="inlineStr">
        <is>
          <t>※ 최종판정 = min(점수등급, 레드플래그 상한). 부정뉴스·사업자 확인불가 등은 자동 D-보류.</t>
        </is>
      </c>
    </row>
    <row r="12">
      <c r="A12" s="5" t="inlineStr">
        <is>
          <t>업체명</t>
        </is>
      </c>
      <c r="B12" s="5" t="inlineStr">
        <is>
          <t>국가</t>
        </is>
      </c>
      <c r="C12" s="5" t="inlineStr">
        <is>
          <t>Deposit(USD)</t>
        </is>
      </c>
      <c r="D12" s="5" t="inlineStr">
        <is>
          <t>커버율</t>
        </is>
      </c>
      <c r="E12" s="5" t="inlineStr">
        <is>
          <t>가중점수</t>
        </is>
      </c>
      <c r="F12" s="5" t="inlineStr">
        <is>
          <t>점수등급</t>
        </is>
      </c>
      <c r="G12" s="5" t="inlineStr">
        <is>
          <t>최종 판정</t>
        </is>
      </c>
      <c r="H12" s="5" t="inlineStr">
        <is>
          <t>레드플래그</t>
        </is>
      </c>
    </row>
    <row r="13">
      <c r="A13" s="6">
        <f>'05_리스크평가'!B3</f>
        <v/>
      </c>
      <c r="B13" s="7">
        <f>VLOOKUP('05_리스크평가'!A3,'01_업체정보'!$A:$M,3,FALSE)</f>
        <v/>
      </c>
      <c r="C13" s="8">
        <f>'05_리스크평가'!U3</f>
        <v/>
      </c>
      <c r="D13" s="9">
        <f>'05_리스크평가'!R3</f>
        <v/>
      </c>
      <c r="E13" s="10">
        <f>'05_리스크평가'!P3</f>
        <v/>
      </c>
      <c r="F13" s="7">
        <f>'05_리스크평가'!Q3</f>
        <v/>
      </c>
      <c r="G13" s="11">
        <f>'05_리스크평가'!AB3</f>
        <v/>
      </c>
      <c r="H13" s="6">
        <f>'05_리스크평가'!AC3</f>
        <v/>
      </c>
    </row>
    <row r="14">
      <c r="A14" s="6">
        <f>'05_리스크평가'!B4</f>
        <v/>
      </c>
      <c r="B14" s="7">
        <f>VLOOKUP('05_리스크평가'!A4,'01_업체정보'!$A:$M,3,FALSE)</f>
        <v/>
      </c>
      <c r="C14" s="8">
        <f>'05_리스크평가'!U4</f>
        <v/>
      </c>
      <c r="D14" s="9">
        <f>'05_리스크평가'!R4</f>
        <v/>
      </c>
      <c r="E14" s="10">
        <f>'05_리스크평가'!P4</f>
        <v/>
      </c>
      <c r="F14" s="7">
        <f>'05_리스크평가'!Q4</f>
        <v/>
      </c>
      <c r="G14" s="11">
        <f>'05_리스크평가'!AB4</f>
        <v/>
      </c>
      <c r="H14" s="6">
        <f>'05_리스크평가'!AC4</f>
        <v/>
      </c>
    </row>
    <row r="15">
      <c r="A15" s="6">
        <f>'05_리스크평가'!B5</f>
        <v/>
      </c>
      <c r="B15" s="7">
        <f>VLOOKUP('05_리스크평가'!A5,'01_업체정보'!$A:$M,3,FALSE)</f>
        <v/>
      </c>
      <c r="C15" s="8">
        <f>'05_리스크평가'!U5</f>
        <v/>
      </c>
      <c r="D15" s="9">
        <f>'05_리스크평가'!R5</f>
        <v/>
      </c>
      <c r="E15" s="10">
        <f>'05_리스크평가'!P5</f>
        <v/>
      </c>
      <c r="F15" s="7">
        <f>'05_리스크평가'!Q5</f>
        <v/>
      </c>
      <c r="G15" s="11">
        <f>'05_리스크평가'!AB5</f>
        <v/>
      </c>
      <c r="H15" s="6">
        <f>'05_리스크평가'!AC5</f>
        <v/>
      </c>
    </row>
    <row r="16">
      <c r="A16" s="6">
        <f>'05_리스크평가'!B6</f>
        <v/>
      </c>
      <c r="B16" s="7">
        <f>VLOOKUP('05_리스크평가'!A6,'01_업체정보'!$A:$M,3,FALSE)</f>
        <v/>
      </c>
      <c r="C16" s="8">
        <f>'05_리스크평가'!U6</f>
        <v/>
      </c>
      <c r="D16" s="9">
        <f>'05_리스크평가'!R6</f>
        <v/>
      </c>
      <c r="E16" s="10">
        <f>'05_리스크평가'!P6</f>
        <v/>
      </c>
      <c r="F16" s="7">
        <f>'05_리스크평가'!Q6</f>
        <v/>
      </c>
      <c r="G16" s="11">
        <f>'05_리스크평가'!AB6</f>
        <v/>
      </c>
      <c r="H16" s="6">
        <f>'05_리스크평가'!AC6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2" t="inlineStr">
        <is>
          <t>■ 설정: 리스크 가중치 및 등급 임계값 (Admin 전용 · 파란색만 수정)</t>
        </is>
      </c>
    </row>
    <row r="3">
      <c r="A3" s="5" t="inlineStr">
        <is>
          <t>평가항목</t>
        </is>
      </c>
      <c r="B3" s="13" t="inlineStr">
        <is>
          <t>회사신뢰도</t>
        </is>
      </c>
      <c r="C3" s="13" t="inlineStr">
        <is>
          <t>사업모델명확성</t>
        </is>
      </c>
      <c r="D3" s="13" t="inlineStr">
        <is>
          <t>엔드유저보유</t>
        </is>
      </c>
      <c r="E3" s="13" t="inlineStr">
        <is>
          <t>판매채널차별성</t>
        </is>
      </c>
      <c r="F3" s="13" t="inlineStr">
        <is>
          <t>기존고객중복도(낮을수록↑)</t>
        </is>
      </c>
      <c r="G3" s="13" t="inlineStr">
        <is>
          <t>유니크인벤토리</t>
        </is>
      </c>
      <c r="H3" s="13" t="inlineStr">
        <is>
          <t>예상매출기여도</t>
        </is>
      </c>
      <c r="I3" s="13" t="inlineStr">
        <is>
          <t>정산리스크</t>
        </is>
      </c>
      <c r="J3" s="13" t="inlineStr">
        <is>
          <t>Deposit충분성</t>
        </is>
      </c>
      <c r="K3" s="13" t="inlineStr">
        <is>
          <t>API/기술안정성</t>
        </is>
      </c>
      <c r="L3" s="13" t="inlineStr">
        <is>
          <t>운영커뮤니케이션</t>
        </is>
      </c>
      <c r="M3" s="13" t="inlineStr">
        <is>
          <t>국가별법무/정산</t>
        </is>
      </c>
      <c r="N3" s="13" t="inlineStr">
        <is>
          <t>장기성장가능성</t>
        </is>
      </c>
      <c r="O3" s="5" t="inlineStr">
        <is>
          <t>합계</t>
        </is>
      </c>
    </row>
    <row r="4">
      <c r="A4" s="5" t="inlineStr">
        <is>
          <t>가중치(합100)</t>
        </is>
      </c>
      <c r="B4" s="14" t="n">
        <v>12</v>
      </c>
      <c r="C4" s="14" t="n">
        <v>8</v>
      </c>
      <c r="D4" s="14" t="n">
        <v>8</v>
      </c>
      <c r="E4" s="14" t="n">
        <v>6</v>
      </c>
      <c r="F4" s="14" t="n">
        <v>6</v>
      </c>
      <c r="G4" s="14" t="n">
        <v>6</v>
      </c>
      <c r="H4" s="14" t="n">
        <v>8</v>
      </c>
      <c r="I4" s="14" t="n">
        <v>12</v>
      </c>
      <c r="J4" s="14" t="n">
        <v>12</v>
      </c>
      <c r="K4" s="14" t="n">
        <v>6</v>
      </c>
      <c r="L4" s="14" t="n">
        <v>5</v>
      </c>
      <c r="M4" s="14" t="n">
        <v>6</v>
      </c>
      <c r="N4" s="14" t="n">
        <v>5</v>
      </c>
      <c r="O4" s="15">
        <f>SUM(B4:N4)</f>
        <v/>
      </c>
    </row>
    <row r="6">
      <c r="A6" s="3" t="inlineStr">
        <is>
          <t>등급 임계값(가중점수 ≥)</t>
        </is>
      </c>
    </row>
    <row r="7">
      <c r="A7" s="13" t="inlineStr">
        <is>
          <t>A-승인추천</t>
        </is>
      </c>
      <c r="B7" s="16" t="n">
        <v>85</v>
      </c>
    </row>
    <row r="8">
      <c r="A8" s="13" t="inlineStr">
        <is>
          <t>B-조건부승인</t>
        </is>
      </c>
      <c r="B8" s="16" t="n">
        <v>70</v>
      </c>
    </row>
    <row r="9">
      <c r="A9" s="13" t="inlineStr">
        <is>
          <t>C-추가확인</t>
        </is>
      </c>
      <c r="B9" s="16" t="n">
        <v>55</v>
      </c>
    </row>
    <row r="10">
      <c r="A10" s="13" t="inlineStr">
        <is>
          <t>D-보류</t>
        </is>
      </c>
      <c r="B10" s="16" t="n">
        <v>40</v>
      </c>
    </row>
    <row r="11">
      <c r="A11" s="13" t="inlineStr">
        <is>
          <t>E-거절추천</t>
        </is>
      </c>
      <c r="B11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6" customWidth="1" min="5" max="5"/>
    <col width="26" customWidth="1" min="6" max="6"/>
    <col width="24" customWidth="1" min="7" max="7"/>
    <col width="16" customWidth="1" min="8" max="8"/>
    <col width="9" customWidth="1" min="9" max="9"/>
    <col width="16" customWidth="1" min="10" max="10"/>
    <col width="14" customWidth="1" min="11" max="11"/>
    <col width="16" customWidth="1" min="12" max="12"/>
    <col width="10" customWidth="1" min="13" max="13"/>
  </cols>
  <sheetData>
    <row r="1">
      <c r="A1" s="12" t="inlineStr">
        <is>
          <t>■ 01. 업체 기본정보 (영업 담당자 1차 입력 · 파란색 입력)</t>
        </is>
      </c>
    </row>
    <row r="2">
      <c r="A2" s="5" t="inlineStr">
        <is>
          <t>업체ID</t>
        </is>
      </c>
      <c r="B2" s="5" t="inlineStr">
        <is>
          <t>업체명</t>
        </is>
      </c>
      <c r="C2" s="5" t="inlineStr">
        <is>
          <t>국가</t>
        </is>
      </c>
      <c r="D2" s="5" t="inlineStr">
        <is>
          <t>사업유형</t>
        </is>
      </c>
      <c r="E2" s="5" t="inlineStr">
        <is>
          <t>주요시장</t>
        </is>
      </c>
      <c r="F2" s="5" t="inlineStr">
        <is>
          <t>주요고객군(엔드유저)</t>
        </is>
      </c>
      <c r="G2" s="5" t="inlineStr">
        <is>
          <t>웹사이트</t>
        </is>
      </c>
      <c r="H2" s="5" t="inlineStr">
        <is>
          <t>사업자등록번호</t>
        </is>
      </c>
      <c r="I2" s="5" t="inlineStr">
        <is>
          <t>설립연도</t>
        </is>
      </c>
      <c r="J2" s="5" t="inlineStr">
        <is>
          <t>대표자/주요임원</t>
        </is>
      </c>
      <c r="K2" s="5" t="inlineStr">
        <is>
          <t>담당자</t>
        </is>
      </c>
      <c r="L2" s="5" t="inlineStr">
        <is>
          <t>담당자 이메일</t>
        </is>
      </c>
      <c r="M2" s="5" t="inlineStr">
        <is>
          <t>상태</t>
        </is>
      </c>
    </row>
    <row r="3">
      <c r="A3" s="15" t="inlineStr">
        <is>
          <t>C001</t>
        </is>
      </c>
      <c r="B3" s="17" t="inlineStr">
        <is>
          <t>Huamao</t>
        </is>
      </c>
      <c r="C3" s="18" t="inlineStr">
        <is>
          <t>중국</t>
        </is>
      </c>
      <c r="D3" s="19" t="inlineStr">
        <is>
          <t>B2B</t>
        </is>
      </c>
      <c r="E3" s="19" t="inlineStr">
        <is>
          <t>중국 아웃바운드</t>
        </is>
      </c>
      <c r="F3" s="19" t="inlineStr">
        <is>
          <t>라이브커머스(샤오홍슈·더우인) 엔드유저</t>
        </is>
      </c>
      <c r="G3" s="20" t="inlineStr">
        <is>
          <t>https://(확인필요)</t>
        </is>
      </c>
      <c r="H3" s="20" t="inlineStr">
        <is>
          <t>확인필요</t>
        </is>
      </c>
      <c r="I3" s="18" t="n">
        <v>2021</v>
      </c>
      <c r="J3" s="20" t="inlineStr">
        <is>
          <t>확인필요</t>
        </is>
      </c>
      <c r="K3" s="19" t="inlineStr">
        <is>
          <t>(영업담당 입력)</t>
        </is>
      </c>
      <c r="L3" s="19" t="inlineStr">
        <is>
          <t>(입력)</t>
        </is>
      </c>
      <c r="M3" s="18" t="inlineStr">
        <is>
          <t>검토중</t>
        </is>
      </c>
    </row>
    <row r="4">
      <c r="A4" s="15" t="inlineStr">
        <is>
          <t>C002</t>
        </is>
      </c>
      <c r="B4" s="17" t="inlineStr">
        <is>
          <t>Linkall Travel</t>
        </is>
      </c>
      <c r="C4" s="18" t="inlineStr">
        <is>
          <t>중국</t>
        </is>
      </c>
      <c r="D4" s="19" t="inlineStr">
        <is>
          <t>B2B</t>
        </is>
      </c>
      <c r="E4" s="19" t="inlineStr">
        <is>
          <t>중국 아웃바운드</t>
        </is>
      </c>
      <c r="F4" s="19" t="inlineStr">
        <is>
          <t>B2B 여행사(개발역량 강점)</t>
        </is>
      </c>
      <c r="G4" s="20" t="inlineStr">
        <is>
          <t>https://linkall.example</t>
        </is>
      </c>
      <c r="H4" s="20" t="inlineStr">
        <is>
          <t>CN-3100-xxxxx</t>
        </is>
      </c>
      <c r="I4" s="18" t="n">
        <v>2019</v>
      </c>
      <c r="J4" s="20" t="inlineStr">
        <is>
          <t>확인 완료</t>
        </is>
      </c>
      <c r="K4" s="19" t="inlineStr">
        <is>
          <t>(영업담당 입력)</t>
        </is>
      </c>
      <c r="L4" s="19" t="inlineStr">
        <is>
          <t>(입력)</t>
        </is>
      </c>
      <c r="M4" s="18" t="inlineStr">
        <is>
          <t>검토중</t>
        </is>
      </c>
    </row>
    <row r="5">
      <c r="A5" s="15" t="inlineStr">
        <is>
          <t>C003</t>
        </is>
      </c>
      <c r="B5" s="17" t="inlineStr">
        <is>
          <t>Wingplus</t>
        </is>
      </c>
      <c r="C5" s="18" t="inlineStr">
        <is>
          <t>중국</t>
        </is>
      </c>
      <c r="D5" s="19" t="inlineStr">
        <is>
          <t>B2B/TMC</t>
        </is>
      </c>
      <c r="E5" s="19" t="inlineStr">
        <is>
          <t>중국 아웃바운드</t>
        </is>
      </c>
      <c r="F5" s="19" t="inlineStr">
        <is>
          <t>TMC 기업출장 엔드유저</t>
        </is>
      </c>
      <c r="G5" s="20" t="inlineStr">
        <is>
          <t>https://wingplus.example</t>
        </is>
      </c>
      <c r="H5" s="20" t="inlineStr">
        <is>
          <t>CN-4400-xxxxx</t>
        </is>
      </c>
      <c r="I5" s="18" t="n">
        <v>2020</v>
      </c>
      <c r="J5" s="20" t="inlineStr">
        <is>
          <t>확인 완료</t>
        </is>
      </c>
      <c r="K5" s="19" t="inlineStr">
        <is>
          <t>(영업담당 입력)</t>
        </is>
      </c>
      <c r="L5" s="19" t="inlineStr">
        <is>
          <t>(입력)</t>
        </is>
      </c>
      <c r="M5" s="18" t="inlineStr">
        <is>
          <t>검토중</t>
        </is>
      </c>
    </row>
    <row r="6">
      <c r="A6" s="15" t="inlineStr">
        <is>
          <t>C004</t>
        </is>
      </c>
      <c r="B6" s="17" t="inlineStr">
        <is>
          <t>Happy Travel</t>
        </is>
      </c>
      <c r="C6" s="18" t="inlineStr">
        <is>
          <t>두바이(UAE)</t>
        </is>
      </c>
      <c r="D6" s="19" t="inlineStr">
        <is>
          <t>B2B/TMC</t>
        </is>
      </c>
      <c r="E6" s="19" t="inlineStr">
        <is>
          <t>중동</t>
        </is>
      </c>
      <c r="F6" s="19" t="inlineStr">
        <is>
          <t>중동 기업/여행사(태국 호텔 수요)</t>
        </is>
      </c>
      <c r="G6" s="20" t="inlineStr">
        <is>
          <t>https://happytravel.example</t>
        </is>
      </c>
      <c r="H6" s="20" t="inlineStr">
        <is>
          <t>AE-DXB-xxxxx</t>
        </is>
      </c>
      <c r="I6" s="18" t="n">
        <v>2018</v>
      </c>
      <c r="J6" s="20" t="inlineStr">
        <is>
          <t>확인 완료</t>
        </is>
      </c>
      <c r="K6" s="19" t="inlineStr">
        <is>
          <t>(영업담당 입력)</t>
        </is>
      </c>
      <c r="L6" s="19" t="inlineStr">
        <is>
          <t>(입력)</t>
        </is>
      </c>
      <c r="M6" s="18" t="inlineStr">
        <is>
          <t>검토중</t>
        </is>
      </c>
    </row>
  </sheetData>
  <dataValidations count="3">
    <dataValidation sqref="C3:C50" showDropDown="0" showInputMessage="0" showErrorMessage="0" allowBlank="1" type="list">
      <formula1>"중국,두바이(UAE),한국,일본,베트남,태국,기타"</formula1>
    </dataValidation>
    <dataValidation sqref="D3:D50" showDropDown="0" showInputMessage="0" showErrorMessage="0" allowBlank="1" type="list">
      <formula1>"B2B,B2C,TMC,OTA,Wholesaler,B2B/TMC"</formula1>
    </dataValidation>
    <dataValidation sqref="M3:M50" showDropDown="0" showInputMessage="0" showErrorMessage="0" allowBlank="1" type="list">
      <formula1>"신규,검토중,승인,조건부승인,보류,거절"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9" customWidth="1" min="5" max="5"/>
    <col width="12" customWidth="1" min="6" max="6"/>
    <col width="15" customWidth="1" min="7" max="7"/>
    <col width="16" customWidth="1" min="8" max="8"/>
    <col width="16" customWidth="1" min="9" max="9"/>
    <col width="9" customWidth="1" min="10" max="10"/>
    <col width="9" customWidth="1" min="11" max="11"/>
    <col width="13" customWidth="1" min="12" max="12"/>
    <col width="15" customWidth="1" min="13" max="13"/>
    <col width="12" customWidth="1" min="14" max="14"/>
  </cols>
  <sheetData>
    <row r="1">
      <c r="A1" s="12" t="inlineStr">
        <is>
          <t>■ 02. 거래조건 (노출액·커버율은 자동계산 · 노랑=핵심 가정, 실제 값으로 갱신)</t>
        </is>
      </c>
    </row>
    <row r="2">
      <c r="A2" s="5" t="inlineStr">
        <is>
          <t>업체ID</t>
        </is>
      </c>
      <c r="B2" s="5" t="inlineStr">
        <is>
          <t>업체명</t>
        </is>
      </c>
      <c r="C2" s="5" t="inlineStr">
        <is>
          <t>Deposit(USD)</t>
        </is>
      </c>
      <c r="D2" s="5" t="inlineStr">
        <is>
          <t>정산주기(일)</t>
        </is>
      </c>
      <c r="E2" s="5" t="inlineStr">
        <is>
          <t>정산통화</t>
        </is>
      </c>
      <c r="F2" s="5" t="inlineStr">
        <is>
          <t>Credit요청(Y/N)</t>
        </is>
      </c>
      <c r="G2" s="5" t="inlineStr">
        <is>
          <t>예상 월거래액(USD)</t>
        </is>
      </c>
      <c r="H2" s="5" t="inlineStr">
        <is>
          <t>주요 판매지역</t>
        </is>
      </c>
      <c r="I2" s="5" t="inlineStr">
        <is>
          <t>주요상품</t>
        </is>
      </c>
      <c r="J2" s="5" t="inlineStr">
        <is>
          <t>API연동</t>
        </is>
      </c>
      <c r="K2" s="5" t="inlineStr">
        <is>
          <t>수기예약</t>
        </is>
      </c>
      <c r="L2" s="5" t="inlineStr">
        <is>
          <t>취소/노쇼 리스크</t>
        </is>
      </c>
      <c r="M2" s="5" t="inlineStr">
        <is>
          <t>Deposit 노출액(USD)</t>
        </is>
      </c>
      <c r="N2" s="5" t="inlineStr">
        <is>
          <t>Deposit 커버율</t>
        </is>
      </c>
    </row>
    <row r="3">
      <c r="A3" s="15" t="inlineStr">
        <is>
          <t>C001</t>
        </is>
      </c>
      <c r="B3" s="17" t="inlineStr">
        <is>
          <t>Huamao</t>
        </is>
      </c>
      <c r="C3" s="21" t="n">
        <v>10000</v>
      </c>
      <c r="D3" s="14" t="n">
        <v>14</v>
      </c>
      <c r="E3" s="18" t="inlineStr">
        <is>
          <t>USD</t>
        </is>
      </c>
      <c r="F3" s="18" t="inlineStr">
        <is>
          <t>N</t>
        </is>
      </c>
      <c r="G3" s="22" t="n">
        <v>50000</v>
      </c>
      <c r="H3" s="19" t="inlineStr">
        <is>
          <t>태국·글로벌</t>
        </is>
      </c>
      <c r="I3" s="19" t="inlineStr">
        <is>
          <t>태국·글로벌 호텔</t>
        </is>
      </c>
      <c r="J3" s="18" t="inlineStr">
        <is>
          <t>Y</t>
        </is>
      </c>
      <c r="K3" s="18" t="inlineStr">
        <is>
          <t>N</t>
        </is>
      </c>
      <c r="L3" s="18" t="inlineStr">
        <is>
          <t>보통</t>
        </is>
      </c>
      <c r="M3" s="23">
        <f>G3*D3/30</f>
        <v/>
      </c>
      <c r="N3" s="24">
        <f>IF(C3=0,0,C3/M3)</f>
        <v/>
      </c>
    </row>
    <row r="4">
      <c r="A4" s="15" t="inlineStr">
        <is>
          <t>C002</t>
        </is>
      </c>
      <c r="B4" s="17" t="inlineStr">
        <is>
          <t>Linkall Travel</t>
        </is>
      </c>
      <c r="C4" s="21" t="n">
        <v>10000</v>
      </c>
      <c r="D4" s="14" t="n">
        <v>14</v>
      </c>
      <c r="E4" s="18" t="inlineStr">
        <is>
          <t>USD</t>
        </is>
      </c>
      <c r="F4" s="18" t="inlineStr">
        <is>
          <t>N</t>
        </is>
      </c>
      <c r="G4" s="22" t="n">
        <v>30000</v>
      </c>
      <c r="H4" s="19" t="inlineStr">
        <is>
          <t>글로벌</t>
        </is>
      </c>
      <c r="I4" s="19" t="inlineStr">
        <is>
          <t>글로벌 호텔</t>
        </is>
      </c>
      <c r="J4" s="18" t="inlineStr">
        <is>
          <t>Y</t>
        </is>
      </c>
      <c r="K4" s="18" t="inlineStr">
        <is>
          <t>N</t>
        </is>
      </c>
      <c r="L4" s="18" t="inlineStr">
        <is>
          <t>보통</t>
        </is>
      </c>
      <c r="M4" s="23">
        <f>G4*D4/30</f>
        <v/>
      </c>
      <c r="N4" s="24">
        <f>IF(C4=0,0,C4/M4)</f>
        <v/>
      </c>
    </row>
    <row r="5">
      <c r="A5" s="15" t="inlineStr">
        <is>
          <t>C003</t>
        </is>
      </c>
      <c r="B5" s="17" t="inlineStr">
        <is>
          <t>Wingplus</t>
        </is>
      </c>
      <c r="C5" s="21" t="n">
        <v>10000</v>
      </c>
      <c r="D5" s="14" t="n">
        <v>14</v>
      </c>
      <c r="E5" s="18" t="inlineStr">
        <is>
          <t>USD</t>
        </is>
      </c>
      <c r="F5" s="18" t="inlineStr">
        <is>
          <t>N</t>
        </is>
      </c>
      <c r="G5" s="22" t="n">
        <v>40000</v>
      </c>
      <c r="H5" s="19" t="inlineStr">
        <is>
          <t>글로벌·기업출장</t>
        </is>
      </c>
      <c r="I5" s="19" t="inlineStr">
        <is>
          <t>글로벌 호텔</t>
        </is>
      </c>
      <c r="J5" s="18" t="inlineStr">
        <is>
          <t>Y</t>
        </is>
      </c>
      <c r="K5" s="18" t="inlineStr">
        <is>
          <t>N</t>
        </is>
      </c>
      <c r="L5" s="18" t="inlineStr">
        <is>
          <t>보통</t>
        </is>
      </c>
      <c r="M5" s="23">
        <f>G5*D5/30</f>
        <v/>
      </c>
      <c r="N5" s="24">
        <f>IF(C5=0,0,C5/M5)</f>
        <v/>
      </c>
    </row>
    <row r="6">
      <c r="A6" s="15" t="inlineStr">
        <is>
          <t>C004</t>
        </is>
      </c>
      <c r="B6" s="17" t="inlineStr">
        <is>
          <t>Happy Travel</t>
        </is>
      </c>
      <c r="C6" s="21" t="n">
        <v>30000</v>
      </c>
      <c r="D6" s="14" t="n">
        <v>14</v>
      </c>
      <c r="E6" s="18" t="inlineStr">
        <is>
          <t>USD</t>
        </is>
      </c>
      <c r="F6" s="18" t="inlineStr">
        <is>
          <t>N</t>
        </is>
      </c>
      <c r="G6" s="22" t="n">
        <v>60000</v>
      </c>
      <c r="H6" s="19" t="inlineStr">
        <is>
          <t>태국</t>
        </is>
      </c>
      <c r="I6" s="19" t="inlineStr">
        <is>
          <t>태국 호텔</t>
        </is>
      </c>
      <c r="J6" s="18" t="inlineStr">
        <is>
          <t>부분</t>
        </is>
      </c>
      <c r="K6" s="18" t="inlineStr">
        <is>
          <t>Y</t>
        </is>
      </c>
      <c r="L6" s="18" t="inlineStr">
        <is>
          <t>보통</t>
        </is>
      </c>
      <c r="M6" s="23">
        <f>G6*D6/30</f>
        <v/>
      </c>
      <c r="N6" s="24">
        <f>IF(C6=0,0,C6/M6)</f>
        <v/>
      </c>
    </row>
  </sheetData>
  <dataValidations count="2">
    <dataValidation sqref="F3:F50 J3:J50 K3:K50" showDropDown="0" showInputMessage="0" showErrorMessage="0" allowBlank="1" type="list">
      <formula1>"Y,N,부분"</formula1>
    </dataValidation>
    <dataValidation sqref="L3:L50" showDropDown="0" showInputMessage="0" showErrorMessage="0" allowBlank="1" type="list">
      <formula1>"낮음,보통,높음"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K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</cols>
  <sheetData>
    <row r="1">
      <c r="A1" s="12" t="inlineStr">
        <is>
          <t>■ 03. 제출서류 관리 (제출/미제출/불가)</t>
        </is>
      </c>
    </row>
    <row r="2">
      <c r="A2" s="5" t="inlineStr">
        <is>
          <t>업체ID</t>
        </is>
      </c>
      <c r="B2" s="5" t="inlineStr">
        <is>
          <t>업체명</t>
        </is>
      </c>
      <c r="C2" s="5" t="inlineStr">
        <is>
          <t>사업자등록증</t>
        </is>
      </c>
      <c r="D2" s="5" t="inlineStr">
        <is>
          <t>회사소개서</t>
        </is>
      </c>
      <c r="E2" s="5" t="inlineStr">
        <is>
          <t>은행정보</t>
        </is>
      </c>
      <c r="F2" s="5" t="inlineStr">
        <is>
          <t>계약서초안</t>
        </is>
      </c>
      <c r="G2" s="5" t="inlineStr">
        <is>
          <t>정산조건합의서</t>
        </is>
      </c>
      <c r="H2" s="5" t="inlineStr">
        <is>
          <t>파트너 레퍼런스</t>
        </is>
      </c>
      <c r="I2" s="5" t="inlineStr">
        <is>
          <t>재무제표/매출자료</t>
        </is>
      </c>
      <c r="J2" s="5" t="inlineStr">
        <is>
          <t>대표자 신분확인</t>
        </is>
      </c>
      <c r="K2" s="5" t="inlineStr">
        <is>
          <t>미제출 건수</t>
        </is>
      </c>
    </row>
    <row r="3">
      <c r="A3" s="15" t="inlineStr">
        <is>
          <t>C001</t>
        </is>
      </c>
      <c r="B3" s="25" t="inlineStr">
        <is>
          <t>Huamao</t>
        </is>
      </c>
      <c r="C3" s="18" t="inlineStr">
        <is>
          <t>미제출</t>
        </is>
      </c>
      <c r="D3" s="18" t="inlineStr">
        <is>
          <t>제출</t>
        </is>
      </c>
      <c r="E3" s="18" t="inlineStr">
        <is>
          <t>제출</t>
        </is>
      </c>
      <c r="F3" s="18" t="inlineStr">
        <is>
          <t>제출</t>
        </is>
      </c>
      <c r="G3" s="18" t="inlineStr">
        <is>
          <t>미제출</t>
        </is>
      </c>
      <c r="H3" s="18" t="inlineStr">
        <is>
          <t>제출</t>
        </is>
      </c>
      <c r="I3" s="18" t="inlineStr">
        <is>
          <t>미제출</t>
        </is>
      </c>
      <c r="J3" s="18" t="inlineStr">
        <is>
          <t>미제출</t>
        </is>
      </c>
      <c r="K3" s="26">
        <f>COUNTIF(C3:J3,"미제출")</f>
        <v/>
      </c>
    </row>
    <row r="4">
      <c r="A4" s="15" t="inlineStr">
        <is>
          <t>C002</t>
        </is>
      </c>
      <c r="B4" s="25" t="inlineStr">
        <is>
          <t>Linkall Travel</t>
        </is>
      </c>
      <c r="C4" s="18" t="inlineStr">
        <is>
          <t>제출</t>
        </is>
      </c>
      <c r="D4" s="18" t="inlineStr">
        <is>
          <t>제출</t>
        </is>
      </c>
      <c r="E4" s="18" t="inlineStr">
        <is>
          <t>제출</t>
        </is>
      </c>
      <c r="F4" s="18" t="inlineStr">
        <is>
          <t>제출</t>
        </is>
      </c>
      <c r="G4" s="18" t="inlineStr">
        <is>
          <t>미제출</t>
        </is>
      </c>
      <c r="H4" s="18" t="inlineStr">
        <is>
          <t>제출</t>
        </is>
      </c>
      <c r="I4" s="18" t="inlineStr">
        <is>
          <t>미제출</t>
        </is>
      </c>
      <c r="J4" s="18" t="inlineStr">
        <is>
          <t>제출</t>
        </is>
      </c>
      <c r="K4" s="26">
        <f>COUNTIF(C4:J4,"미제출")</f>
        <v/>
      </c>
    </row>
    <row r="5">
      <c r="A5" s="15" t="inlineStr">
        <is>
          <t>C003</t>
        </is>
      </c>
      <c r="B5" s="25" t="inlineStr">
        <is>
          <t>Wingplus</t>
        </is>
      </c>
      <c r="C5" s="18" t="inlineStr">
        <is>
          <t>제출</t>
        </is>
      </c>
      <c r="D5" s="18" t="inlineStr">
        <is>
          <t>제출</t>
        </is>
      </c>
      <c r="E5" s="18" t="inlineStr">
        <is>
          <t>제출</t>
        </is>
      </c>
      <c r="F5" s="18" t="inlineStr">
        <is>
          <t>제출</t>
        </is>
      </c>
      <c r="G5" s="18" t="inlineStr">
        <is>
          <t>제출</t>
        </is>
      </c>
      <c r="H5" s="18" t="inlineStr">
        <is>
          <t>제출</t>
        </is>
      </c>
      <c r="I5" s="18" t="inlineStr">
        <is>
          <t>미제출</t>
        </is>
      </c>
      <c r="J5" s="18" t="inlineStr">
        <is>
          <t>제출</t>
        </is>
      </c>
      <c r="K5" s="26">
        <f>COUNTIF(C5:J5,"미제출")</f>
        <v/>
      </c>
    </row>
    <row r="6">
      <c r="A6" s="15" t="inlineStr">
        <is>
          <t>C004</t>
        </is>
      </c>
      <c r="B6" s="25" t="inlineStr">
        <is>
          <t>Happy Travel</t>
        </is>
      </c>
      <c r="C6" s="18" t="inlineStr">
        <is>
          <t>제출</t>
        </is>
      </c>
      <c r="D6" s="18" t="inlineStr">
        <is>
          <t>제출</t>
        </is>
      </c>
      <c r="E6" s="18" t="inlineStr">
        <is>
          <t>제출</t>
        </is>
      </c>
      <c r="F6" s="18" t="inlineStr">
        <is>
          <t>제출</t>
        </is>
      </c>
      <c r="G6" s="18" t="inlineStr">
        <is>
          <t>제출</t>
        </is>
      </c>
      <c r="H6" s="18" t="inlineStr">
        <is>
          <t>제출</t>
        </is>
      </c>
      <c r="I6" s="18" t="inlineStr">
        <is>
          <t>제출</t>
        </is>
      </c>
      <c r="J6" s="18" t="inlineStr">
        <is>
          <t>제출</t>
        </is>
      </c>
      <c r="K6" s="26">
        <f>COUNTIF(C6:J6,"미제출")</f>
        <v/>
      </c>
    </row>
  </sheetData>
  <dataValidations count="1">
    <dataValidation sqref="C3:J50" showDropDown="0" showInputMessage="0" showErrorMessage="0" allowBlank="1" type="list">
      <formula1>"제출,미제출,불가"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K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■ 04. 외부 공개정보 체크 (Y/N/불명) · '부정뉴스·소송=Y'와 '주소실존=N'은 자동 강등 유발</t>
        </is>
      </c>
    </row>
    <row r="2">
      <c r="A2" s="5" t="inlineStr">
        <is>
          <t>업체ID</t>
        </is>
      </c>
      <c r="B2" s="5" t="inlineStr">
        <is>
          <t>업체명</t>
        </is>
      </c>
      <c r="C2" s="5" t="inlineStr">
        <is>
          <t>공식웹사이트</t>
        </is>
      </c>
      <c r="D2" s="5" t="inlineStr">
        <is>
          <t>LinkedIn/기업프로필</t>
        </is>
      </c>
      <c r="E2" s="5" t="inlineStr">
        <is>
          <t>Google 검색결과</t>
        </is>
      </c>
      <c r="F2" s="5" t="inlineStr">
        <is>
          <t>부정 뉴스</t>
        </is>
      </c>
      <c r="G2" s="5" t="inlineStr">
        <is>
          <t>소송/사기/미정산</t>
        </is>
      </c>
      <c r="H2" s="5" t="inlineStr">
        <is>
          <t>거래처/업계 레퍼런스</t>
        </is>
      </c>
      <c r="I2" s="5" t="inlineStr">
        <is>
          <t>도메인 생성시점 확인</t>
        </is>
      </c>
      <c r="J2" s="5" t="inlineStr">
        <is>
          <t>회사주소 실존</t>
        </is>
      </c>
      <c r="K2" s="5" t="inlineStr">
        <is>
          <t>대표자 업계이력</t>
        </is>
      </c>
    </row>
    <row r="3">
      <c r="A3" s="15" t="inlineStr">
        <is>
          <t>C001</t>
        </is>
      </c>
      <c r="B3" s="25" t="inlineStr">
        <is>
          <t>Huamao</t>
        </is>
      </c>
      <c r="C3" s="18" t="inlineStr">
        <is>
          <t>Y</t>
        </is>
      </c>
      <c r="D3" s="18" t="inlineStr">
        <is>
          <t>불명</t>
        </is>
      </c>
      <c r="E3" s="18" t="inlineStr">
        <is>
          <t>Y</t>
        </is>
      </c>
      <c r="F3" s="18" t="inlineStr">
        <is>
          <t>N</t>
        </is>
      </c>
      <c r="G3" s="18" t="inlineStr">
        <is>
          <t>N</t>
        </is>
      </c>
      <c r="H3" s="18" t="inlineStr">
        <is>
          <t>Y</t>
        </is>
      </c>
      <c r="I3" s="18" t="inlineStr">
        <is>
          <t>불명</t>
        </is>
      </c>
      <c r="J3" s="18" t="inlineStr">
        <is>
          <t>Y</t>
        </is>
      </c>
      <c r="K3" s="18" t="inlineStr">
        <is>
          <t>불명</t>
        </is>
      </c>
    </row>
    <row r="4">
      <c r="A4" s="15" t="inlineStr">
        <is>
          <t>C002</t>
        </is>
      </c>
      <c r="B4" s="25" t="inlineStr">
        <is>
          <t>Linkall Travel</t>
        </is>
      </c>
      <c r="C4" s="18" t="inlineStr">
        <is>
          <t>Y</t>
        </is>
      </c>
      <c r="D4" s="18" t="inlineStr">
        <is>
          <t>Y</t>
        </is>
      </c>
      <c r="E4" s="18" t="inlineStr">
        <is>
          <t>Y</t>
        </is>
      </c>
      <c r="F4" s="18" t="inlineStr">
        <is>
          <t>N</t>
        </is>
      </c>
      <c r="G4" s="18" t="inlineStr">
        <is>
          <t>N</t>
        </is>
      </c>
      <c r="H4" s="18" t="inlineStr">
        <is>
          <t>Y</t>
        </is>
      </c>
      <c r="I4" s="18" t="inlineStr">
        <is>
          <t>Y</t>
        </is>
      </c>
      <c r="J4" s="18" t="inlineStr">
        <is>
          <t>Y</t>
        </is>
      </c>
      <c r="K4" s="18" t="inlineStr">
        <is>
          <t>Y</t>
        </is>
      </c>
    </row>
    <row r="5">
      <c r="A5" s="15" t="inlineStr">
        <is>
          <t>C003</t>
        </is>
      </c>
      <c r="B5" s="25" t="inlineStr">
        <is>
          <t>Wingplus</t>
        </is>
      </c>
      <c r="C5" s="18" t="inlineStr">
        <is>
          <t>Y</t>
        </is>
      </c>
      <c r="D5" s="18" t="inlineStr">
        <is>
          <t>Y</t>
        </is>
      </c>
      <c r="E5" s="18" t="inlineStr">
        <is>
          <t>Y</t>
        </is>
      </c>
      <c r="F5" s="18" t="inlineStr">
        <is>
          <t>N</t>
        </is>
      </c>
      <c r="G5" s="18" t="inlineStr">
        <is>
          <t>N</t>
        </is>
      </c>
      <c r="H5" s="18" t="inlineStr">
        <is>
          <t>Y</t>
        </is>
      </c>
      <c r="I5" s="18" t="inlineStr">
        <is>
          <t>Y</t>
        </is>
      </c>
      <c r="J5" s="18" t="inlineStr">
        <is>
          <t>Y</t>
        </is>
      </c>
      <c r="K5" s="18" t="inlineStr">
        <is>
          <t>Y</t>
        </is>
      </c>
    </row>
    <row r="6">
      <c r="A6" s="15" t="inlineStr">
        <is>
          <t>C004</t>
        </is>
      </c>
      <c r="B6" s="25" t="inlineStr">
        <is>
          <t>Happy Travel</t>
        </is>
      </c>
      <c r="C6" s="18" t="inlineStr">
        <is>
          <t>Y</t>
        </is>
      </c>
      <c r="D6" s="18" t="inlineStr">
        <is>
          <t>Y</t>
        </is>
      </c>
      <c r="E6" s="18" t="inlineStr">
        <is>
          <t>Y</t>
        </is>
      </c>
      <c r="F6" s="18" t="inlineStr">
        <is>
          <t>N</t>
        </is>
      </c>
      <c r="G6" s="18" t="inlineStr">
        <is>
          <t>N</t>
        </is>
      </c>
      <c r="H6" s="18" t="inlineStr">
        <is>
          <t>Y</t>
        </is>
      </c>
      <c r="I6" s="18" t="inlineStr">
        <is>
          <t>Y</t>
        </is>
      </c>
      <c r="J6" s="18" t="inlineStr">
        <is>
          <t>Y</t>
        </is>
      </c>
      <c r="K6" s="18" t="inlineStr">
        <is>
          <t>Y</t>
        </is>
      </c>
    </row>
  </sheetData>
  <dataValidations count="1">
    <dataValidation sqref="C3:K50" showDropDown="0" showInputMessage="0" showErrorMessage="0" allowBlank="1" type="list">
      <formula1>"Y,N,불명"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F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30" customWidth="1" min="29" max="29"/>
    <col width="34" customWidth="1" min="30" max="30"/>
    <col width="34" customWidth="1" min="31" max="31"/>
    <col width="34" customWidth="1" min="32" max="32"/>
  </cols>
  <sheetData>
    <row r="1">
      <c r="A1" s="12" t="inlineStr">
        <is>
          <t>■ 05. 내부 리스크 평가 (각 1~5점, 5=저위험/양호) · 가중점수·최종판정 자동</t>
        </is>
      </c>
    </row>
    <row r="2">
      <c r="A2" s="5" t="inlineStr">
        <is>
          <t>업체ID</t>
        </is>
      </c>
      <c r="B2" s="5" t="inlineStr">
        <is>
          <t>업체명</t>
        </is>
      </c>
      <c r="C2" s="5" t="inlineStr">
        <is>
          <t>회사신뢰도</t>
        </is>
      </c>
      <c r="D2" s="5" t="inlineStr">
        <is>
          <t>사업모델명확성</t>
        </is>
      </c>
      <c r="E2" s="5" t="inlineStr">
        <is>
          <t>엔드유저보유</t>
        </is>
      </c>
      <c r="F2" s="5" t="inlineStr">
        <is>
          <t>판매채널차별성</t>
        </is>
      </c>
      <c r="G2" s="5" t="inlineStr">
        <is>
          <t>기존고객중복도(낮을수록↑)</t>
        </is>
      </c>
      <c r="H2" s="5" t="inlineStr">
        <is>
          <t>유니크인벤토리</t>
        </is>
      </c>
      <c r="I2" s="5" t="inlineStr">
        <is>
          <t>예상매출기여도</t>
        </is>
      </c>
      <c r="J2" s="5" t="inlineStr">
        <is>
          <t>정산리스크</t>
        </is>
      </c>
      <c r="K2" s="5" t="inlineStr">
        <is>
          <t>Deposit충분성</t>
        </is>
      </c>
      <c r="L2" s="5" t="inlineStr">
        <is>
          <t>API/기술안정성</t>
        </is>
      </c>
      <c r="M2" s="5" t="inlineStr">
        <is>
          <t>운영커뮤니케이션</t>
        </is>
      </c>
      <c r="N2" s="5" t="inlineStr">
        <is>
          <t>국가별법무/정산</t>
        </is>
      </c>
      <c r="O2" s="5" t="inlineStr">
        <is>
          <t>장기성장가능성</t>
        </is>
      </c>
      <c r="P2" s="5" t="inlineStr">
        <is>
          <t>가중점수(100)</t>
        </is>
      </c>
      <c r="Q2" s="5" t="inlineStr">
        <is>
          <t>점수등급</t>
        </is>
      </c>
      <c r="R2" s="27" t="inlineStr">
        <is>
          <t>_커버율</t>
        </is>
      </c>
      <c r="S2" s="27" t="inlineStr">
        <is>
          <t>_정산주기</t>
        </is>
      </c>
      <c r="T2" s="27" t="inlineStr">
        <is>
          <t>_Credit</t>
        </is>
      </c>
      <c r="U2" s="27" t="inlineStr">
        <is>
          <t>_Deposit</t>
        </is>
      </c>
      <c r="V2" s="27" t="inlineStr">
        <is>
          <t>_부정뉴스</t>
        </is>
      </c>
      <c r="W2" s="27" t="inlineStr">
        <is>
          <t>_소송</t>
        </is>
      </c>
      <c r="X2" s="27" t="inlineStr">
        <is>
          <t>_웹사이트</t>
        </is>
      </c>
      <c r="Y2" s="27" t="inlineStr">
        <is>
          <t>_사업자</t>
        </is>
      </c>
      <c r="Z2" s="27" t="inlineStr">
        <is>
          <t>_대표자</t>
        </is>
      </c>
      <c r="AA2" s="27" t="inlineStr">
        <is>
          <t>_주소실존</t>
        </is>
      </c>
      <c r="AB2" s="28" t="inlineStr">
        <is>
          <t>최종 판정</t>
        </is>
      </c>
      <c r="AC2" s="28" t="inlineStr">
        <is>
          <t>레드플래그 요약</t>
        </is>
      </c>
      <c r="AD2" s="5" t="inlineStr">
        <is>
          <t>기대효과</t>
        </is>
      </c>
      <c r="AE2" s="5" t="inlineStr">
        <is>
          <t>확인 필요사항</t>
        </is>
      </c>
      <c r="AF2" s="5" t="inlineStr">
        <is>
          <t>종합 의견</t>
        </is>
      </c>
    </row>
    <row r="3">
      <c r="A3" s="15" t="inlineStr">
        <is>
          <t>C001</t>
        </is>
      </c>
      <c r="B3" s="6">
        <f>VLOOKUP(A3,'01_업체정보'!$A:$M,2,FALSE)</f>
        <v/>
      </c>
      <c r="C3" s="14" t="n">
        <v>3</v>
      </c>
      <c r="D3" s="14" t="n">
        <v>4</v>
      </c>
      <c r="E3" s="14" t="n">
        <v>5</v>
      </c>
      <c r="F3" s="14" t="n">
        <v>5</v>
      </c>
      <c r="G3" s="14" t="n">
        <v>4</v>
      </c>
      <c r="H3" s="14" t="n">
        <v>4</v>
      </c>
      <c r="I3" s="14" t="n">
        <v>4</v>
      </c>
      <c r="J3" s="14" t="n">
        <v>3</v>
      </c>
      <c r="K3" s="14" t="n">
        <v>2</v>
      </c>
      <c r="L3" s="14" t="n">
        <v>3</v>
      </c>
      <c r="M3" s="14" t="n">
        <v>3</v>
      </c>
      <c r="N3" s="14" t="n">
        <v>2</v>
      </c>
      <c r="O3" s="14" t="n">
        <v>4</v>
      </c>
      <c r="P3" s="29">
        <f>SUMPRODUCT(C3:O3,'08_설정'!$B$4:$N$4)/5</f>
        <v/>
      </c>
      <c r="Q3" s="25">
        <f>IF(P3&gt;='08_설정'!$B$7,"A-승인추천",IF(P3&gt;='08_설정'!$B$8,"B-조건부승인",IF(P3&gt;='08_설정'!$B$9,"C-추가확인",IF(P3&gt;='08_설정'!$B$10,"D-보류","E-거절추천"))))</f>
        <v/>
      </c>
      <c r="R3" s="9">
        <f>VLOOKUP(A3,'02_거래조건'!$A:$N,14,FALSE)</f>
        <v/>
      </c>
      <c r="S3" s="30">
        <f>VLOOKUP(A3,'02_거래조건'!$A:$N,4,FALSE)</f>
        <v/>
      </c>
      <c r="T3" s="7">
        <f>VLOOKUP(A3,'02_거래조건'!$A:$N,6,FALSE)</f>
        <v/>
      </c>
      <c r="U3" s="8">
        <f>VLOOKUP(A3,'02_거래조건'!$A:$N,3,FALSE)</f>
        <v/>
      </c>
      <c r="V3" s="7">
        <f>VLOOKUP(A3,'04_외부공개정보'!$A:$K,6,FALSE)</f>
        <v/>
      </c>
      <c r="W3" s="7">
        <f>VLOOKUP(A3,'04_외부공개정보'!$A:$K,7,FALSE)</f>
        <v/>
      </c>
      <c r="X3" s="7">
        <f>VLOOKUP(A3,'04_외부공개정보'!$A:$K,3,FALSE)</f>
        <v/>
      </c>
      <c r="Y3" s="7">
        <f>VLOOKUP(A3,'01_업체정보'!$A:$M,8,FALSE)</f>
        <v/>
      </c>
      <c r="Z3" s="7">
        <f>VLOOKUP(A3,'01_업체정보'!$A:$M,10,FALSE)</f>
        <v/>
      </c>
      <c r="AA3" s="7">
        <f>VLOOKUP(A3,'04_외부공개정보'!$A:$K,10,FALSE)</f>
        <v/>
      </c>
      <c r="AB3" s="11">
        <f>IF(OR(AA3="N",TRIM(Y3)="",Y3="확인필요",V3="Y",W3="Y",AND(T3="Y",U3=0)),"D-보류",IF(OR(X3="N",TRIM(Z3)="",Z3="확인필요",R3&lt;1,S3&gt;=30),"C-추가확인",Q3))</f>
        <v/>
      </c>
      <c r="AC3" s="17">
        <f>IF(TRIM(IF(OR(AA3="N",TRIM(Y3)="",Y3="확인필요"),"[사업자/실체 확인불가] ","")&amp;IF(V3="Y","[부정뉴스] ","")&amp;IF(W3="Y","[소송/미정산] ","")&amp;IF(AND(T3="Y",U3=0),"[무담보 Credit] ","")&amp;IF(X3="N","[웹사이트없음] ","")&amp;IF(TRIM(Z3)="","[대표자 확인불가] ","")&amp;IF(R3&lt;1,"[Deposit 부족] ","")&amp;IF(S3&gt;=30,"[정산 30일+] ",""))="","없음",IF(OR(AA3="N",TRIM(Y3)="",Y3="확인필요"),"[사업자/실체 확인불가] ","")&amp;IF(V3="Y","[부정뉴스] ","")&amp;IF(W3="Y","[소송/미정산] ","")&amp;IF(AND(T3="Y",U3=0),"[무담보 Credit] ","")&amp;IF(X3="N","[웹사이트없음] ","")&amp;IF(TRIM(Z3)="","[대표자 확인불가] ","")&amp;IF(R3&lt;1,"[Deposit 부족] ","")&amp;IF(S3&gt;=30,"[정산 30일+] ",""))</f>
        <v/>
      </c>
      <c r="AD3" s="19" t="inlineStr">
        <is>
          <t>샤오홍슈·더우인 라이브커머스 기반 4세대 구조 엔드유저 확보, 신규 채널 볼륨 기대</t>
        </is>
      </c>
      <c r="AE3" s="19" t="inlineStr">
        <is>
          <t>사업자등록증·재무제표 미제출, 사업자번호·대표자 확인 필요, Deposit 커버율 부족</t>
        </is>
      </c>
      <c r="AF3" s="19" t="inlineStr">
        <is>
          <t>엔드유저 매력도 높으나 실체·서류 미비로 현 상태 보류. 서류 보완 후 재평가 권고</t>
        </is>
      </c>
    </row>
    <row r="4">
      <c r="A4" s="15" t="inlineStr">
        <is>
          <t>C002</t>
        </is>
      </c>
      <c r="B4" s="6">
        <f>VLOOKUP(A4,'01_업체정보'!$A:$M,2,FALSE)</f>
        <v/>
      </c>
      <c r="C4" s="14" t="n">
        <v>3</v>
      </c>
      <c r="D4" s="14" t="n">
        <v>4</v>
      </c>
      <c r="E4" s="14" t="n">
        <v>3</v>
      </c>
      <c r="F4" s="14" t="n">
        <v>3</v>
      </c>
      <c r="G4" s="14" t="n">
        <v>2</v>
      </c>
      <c r="H4" s="14" t="n">
        <v>3</v>
      </c>
      <c r="I4" s="14" t="n">
        <v>3</v>
      </c>
      <c r="J4" s="14" t="n">
        <v>3</v>
      </c>
      <c r="K4" s="14" t="n">
        <v>2</v>
      </c>
      <c r="L4" s="14" t="n">
        <v>4</v>
      </c>
      <c r="M4" s="14" t="n">
        <v>3</v>
      </c>
      <c r="N4" s="14" t="n">
        <v>2</v>
      </c>
      <c r="O4" s="14" t="n">
        <v>3</v>
      </c>
      <c r="P4" s="29">
        <f>SUMPRODUCT(C4:O4,'08_설정'!$B$4:$N$4)/5</f>
        <v/>
      </c>
      <c r="Q4" s="25">
        <f>IF(P4&gt;='08_설정'!$B$7,"A-승인추천",IF(P4&gt;='08_설정'!$B$8,"B-조건부승인",IF(P4&gt;='08_설정'!$B$9,"C-추가확인",IF(P4&gt;='08_설정'!$B$10,"D-보류","E-거절추천"))))</f>
        <v/>
      </c>
      <c r="R4" s="9">
        <f>VLOOKUP(A4,'02_거래조건'!$A:$N,14,FALSE)</f>
        <v/>
      </c>
      <c r="S4" s="30">
        <f>VLOOKUP(A4,'02_거래조건'!$A:$N,4,FALSE)</f>
        <v/>
      </c>
      <c r="T4" s="7">
        <f>VLOOKUP(A4,'02_거래조건'!$A:$N,6,FALSE)</f>
        <v/>
      </c>
      <c r="U4" s="8">
        <f>VLOOKUP(A4,'02_거래조건'!$A:$N,3,FALSE)</f>
        <v/>
      </c>
      <c r="V4" s="7">
        <f>VLOOKUP(A4,'04_외부공개정보'!$A:$K,6,FALSE)</f>
        <v/>
      </c>
      <c r="W4" s="7">
        <f>VLOOKUP(A4,'04_외부공개정보'!$A:$K,7,FALSE)</f>
        <v/>
      </c>
      <c r="X4" s="7">
        <f>VLOOKUP(A4,'04_외부공개정보'!$A:$K,3,FALSE)</f>
        <v/>
      </c>
      <c r="Y4" s="7">
        <f>VLOOKUP(A4,'01_업체정보'!$A:$M,8,FALSE)</f>
        <v/>
      </c>
      <c r="Z4" s="7">
        <f>VLOOKUP(A4,'01_업체정보'!$A:$M,10,FALSE)</f>
        <v/>
      </c>
      <c r="AA4" s="7">
        <f>VLOOKUP(A4,'04_외부공개정보'!$A:$K,10,FALSE)</f>
        <v/>
      </c>
      <c r="AB4" s="11">
        <f>IF(OR(AA4="N",TRIM(Y4)="",Y4="확인필요",V4="Y",W4="Y",AND(T4="Y",U4=0)),"D-보류",IF(OR(X4="N",TRIM(Z4)="",Z4="확인필요",R4&lt;1,S4&gt;=30),"C-추가확인",Q4))</f>
        <v/>
      </c>
      <c r="AC4" s="17">
        <f>IF(TRIM(IF(OR(AA4="N",TRIM(Y4)="",Y4="확인필요"),"[사업자/실체 확인불가] ","")&amp;IF(V4="Y","[부정뉴스] ","")&amp;IF(W4="Y","[소송/미정산] ","")&amp;IF(AND(T4="Y",U4=0),"[무담보 Credit] ","")&amp;IF(X4="N","[웹사이트없음] ","")&amp;IF(TRIM(Z4)="","[대표자 확인불가] ","")&amp;IF(R4&lt;1,"[Deposit 부족] ","")&amp;IF(S4&gt;=30,"[정산 30일+] ",""))="","없음",IF(OR(AA4="N",TRIM(Y4)="",Y4="확인필요"),"[사업자/실체 확인불가] ","")&amp;IF(V4="Y","[부정뉴스] ","")&amp;IF(W4="Y","[소송/미정산] ","")&amp;IF(AND(T4="Y",U4=0),"[무담보 Credit] ","")&amp;IF(X4="N","[웹사이트없음] ","")&amp;IF(TRIM(Z4)="","[대표자 확인불가] ","")&amp;IF(R4&lt;1,"[Deposit 부족] ","")&amp;IF(S4&gt;=30,"[정산 30일+] ",""))</f>
        <v/>
      </c>
      <c r="AD4" s="19" t="inlineStr">
        <is>
          <t>개발역량 강점으로 API 안정 연동 기대</t>
        </is>
      </c>
      <c r="AE4" s="19" t="inlineStr">
        <is>
          <t>기존 고객사와 채널 중복 가능성, Deposit 커버율 부족, 재무제표 미제출</t>
        </is>
      </c>
      <c r="AF4" s="19" t="inlineStr">
        <is>
          <t>기술력은 양호하나 차별성·Deposit 보완 시 조건부 승인 검토 가능</t>
        </is>
      </c>
    </row>
    <row r="5">
      <c r="A5" s="15" t="inlineStr">
        <is>
          <t>C003</t>
        </is>
      </c>
      <c r="B5" s="6">
        <f>VLOOKUP(A5,'01_업체정보'!$A:$M,2,FALSE)</f>
        <v/>
      </c>
      <c r="C5" s="14" t="n">
        <v>3</v>
      </c>
      <c r="D5" s="14" t="n">
        <v>4</v>
      </c>
      <c r="E5" s="14" t="n">
        <v>4</v>
      </c>
      <c r="F5" s="14" t="n">
        <v>4</v>
      </c>
      <c r="G5" s="14" t="n">
        <v>3</v>
      </c>
      <c r="H5" s="14" t="n">
        <v>4</v>
      </c>
      <c r="I5" s="14" t="n">
        <v>4</v>
      </c>
      <c r="J5" s="14" t="n">
        <v>3</v>
      </c>
      <c r="K5" s="14" t="n">
        <v>2</v>
      </c>
      <c r="L5" s="14" t="n">
        <v>3</v>
      </c>
      <c r="M5" s="14" t="n">
        <v>3</v>
      </c>
      <c r="N5" s="14" t="n">
        <v>2</v>
      </c>
      <c r="O5" s="14" t="n">
        <v>4</v>
      </c>
      <c r="P5" s="29">
        <f>SUMPRODUCT(C5:O5,'08_설정'!$B$4:$N$4)/5</f>
        <v/>
      </c>
      <c r="Q5" s="25">
        <f>IF(P5&gt;='08_설정'!$B$7,"A-승인추천",IF(P5&gt;='08_설정'!$B$8,"B-조건부승인",IF(P5&gt;='08_설정'!$B$9,"C-추가확인",IF(P5&gt;='08_설정'!$B$10,"D-보류","E-거절추천"))))</f>
        <v/>
      </c>
      <c r="R5" s="9">
        <f>VLOOKUP(A5,'02_거래조건'!$A:$N,14,FALSE)</f>
        <v/>
      </c>
      <c r="S5" s="30">
        <f>VLOOKUP(A5,'02_거래조건'!$A:$N,4,FALSE)</f>
        <v/>
      </c>
      <c r="T5" s="7">
        <f>VLOOKUP(A5,'02_거래조건'!$A:$N,6,FALSE)</f>
        <v/>
      </c>
      <c r="U5" s="8">
        <f>VLOOKUP(A5,'02_거래조건'!$A:$N,3,FALSE)</f>
        <v/>
      </c>
      <c r="V5" s="7">
        <f>VLOOKUP(A5,'04_외부공개정보'!$A:$K,6,FALSE)</f>
        <v/>
      </c>
      <c r="W5" s="7">
        <f>VLOOKUP(A5,'04_외부공개정보'!$A:$K,7,FALSE)</f>
        <v/>
      </c>
      <c r="X5" s="7">
        <f>VLOOKUP(A5,'04_외부공개정보'!$A:$K,3,FALSE)</f>
        <v/>
      </c>
      <c r="Y5" s="7">
        <f>VLOOKUP(A5,'01_업체정보'!$A:$M,8,FALSE)</f>
        <v/>
      </c>
      <c r="Z5" s="7">
        <f>VLOOKUP(A5,'01_업체정보'!$A:$M,10,FALSE)</f>
        <v/>
      </c>
      <c r="AA5" s="7">
        <f>VLOOKUP(A5,'04_외부공개정보'!$A:$K,10,FALSE)</f>
        <v/>
      </c>
      <c r="AB5" s="11">
        <f>IF(OR(AA5="N",TRIM(Y5)="",Y5="확인필요",V5="Y",W5="Y",AND(T5="Y",U5=0)),"D-보류",IF(OR(X5="N",TRIM(Z5)="",Z5="확인필요",R5&lt;1,S5&gt;=30),"C-추가확인",Q5))</f>
        <v/>
      </c>
      <c r="AC5" s="17">
        <f>IF(TRIM(IF(OR(AA5="N",TRIM(Y5)="",Y5="확인필요"),"[사업자/실체 확인불가] ","")&amp;IF(V5="Y","[부정뉴스] ","")&amp;IF(W5="Y","[소송/미정산] ","")&amp;IF(AND(T5="Y",U5=0),"[무담보 Credit] ","")&amp;IF(X5="N","[웹사이트없음] ","")&amp;IF(TRIM(Z5)="","[대표자 확인불가] ","")&amp;IF(R5&lt;1,"[Deposit 부족] ","")&amp;IF(S5&gt;=30,"[정산 30일+] ",""))="","없음",IF(OR(AA5="N",TRIM(Y5)="",Y5="확인필요"),"[사업자/실체 확인불가] ","")&amp;IF(V5="Y","[부정뉴스] ","")&amp;IF(W5="Y","[소송/미정산] ","")&amp;IF(AND(T5="Y",U5=0),"[무담보 Credit] ","")&amp;IF(X5="N","[웹사이트없음] ","")&amp;IF(TRIM(Z5)="","[대표자 확인불가] ","")&amp;IF(R5&lt;1,"[Deposit 부족] ","")&amp;IF(S5&gt;=30,"[정산 30일+] ",""))</f>
        <v/>
      </c>
      <c r="AD5" s="19" t="inlineStr">
        <is>
          <t>TMC 기업출장 엔드유저 보유, 4세대 구조</t>
        </is>
      </c>
      <c r="AE5" s="19" t="inlineStr">
        <is>
          <t>Deposit 커버율 부족, 재무제표 미제출</t>
        </is>
      </c>
      <c r="AF5" s="19" t="inlineStr">
        <is>
          <t>엔드유저 보유 긍정적. Deposit 상향 또는 GMV 한도 설정 조건부 승인 검토</t>
        </is>
      </c>
    </row>
    <row r="6">
      <c r="A6" s="15" t="inlineStr">
        <is>
          <t>C004</t>
        </is>
      </c>
      <c r="B6" s="6">
        <f>VLOOKUP(A6,'01_업체정보'!$A:$M,2,FALSE)</f>
        <v/>
      </c>
      <c r="C6" s="14" t="n">
        <v>4</v>
      </c>
      <c r="D6" s="14" t="n">
        <v>4</v>
      </c>
      <c r="E6" s="14" t="n">
        <v>4</v>
      </c>
      <c r="F6" s="14" t="n">
        <v>4</v>
      </c>
      <c r="G6" s="14" t="n">
        <v>4</v>
      </c>
      <c r="H6" s="14" t="n">
        <v>3</v>
      </c>
      <c r="I6" s="14" t="n">
        <v>5</v>
      </c>
      <c r="J6" s="14" t="n">
        <v>4</v>
      </c>
      <c r="K6" s="14" t="n">
        <v>3</v>
      </c>
      <c r="L6" s="14" t="n">
        <v>3</v>
      </c>
      <c r="M6" s="14" t="n">
        <v>3</v>
      </c>
      <c r="N6" s="14" t="n">
        <v>3</v>
      </c>
      <c r="O6" s="14" t="n">
        <v>4</v>
      </c>
      <c r="P6" s="29">
        <f>SUMPRODUCT(C6:O6,'08_설정'!$B$4:$N$4)/5</f>
        <v/>
      </c>
      <c r="Q6" s="25">
        <f>IF(P6&gt;='08_설정'!$B$7,"A-승인추천",IF(P6&gt;='08_설정'!$B$8,"B-조건부승인",IF(P6&gt;='08_설정'!$B$9,"C-추가확인",IF(P6&gt;='08_설정'!$B$10,"D-보류","E-거절추천"))))</f>
        <v/>
      </c>
      <c r="R6" s="9">
        <f>VLOOKUP(A6,'02_거래조건'!$A:$N,14,FALSE)</f>
        <v/>
      </c>
      <c r="S6" s="30">
        <f>VLOOKUP(A6,'02_거래조건'!$A:$N,4,FALSE)</f>
        <v/>
      </c>
      <c r="T6" s="7">
        <f>VLOOKUP(A6,'02_거래조건'!$A:$N,6,FALSE)</f>
        <v/>
      </c>
      <c r="U6" s="8">
        <f>VLOOKUP(A6,'02_거래조건'!$A:$N,3,FALSE)</f>
        <v/>
      </c>
      <c r="V6" s="7">
        <f>VLOOKUP(A6,'04_외부공개정보'!$A:$K,6,FALSE)</f>
        <v/>
      </c>
      <c r="W6" s="7">
        <f>VLOOKUP(A6,'04_외부공개정보'!$A:$K,7,FALSE)</f>
        <v/>
      </c>
      <c r="X6" s="7">
        <f>VLOOKUP(A6,'04_외부공개정보'!$A:$K,3,FALSE)</f>
        <v/>
      </c>
      <c r="Y6" s="7">
        <f>VLOOKUP(A6,'01_업체정보'!$A:$M,8,FALSE)</f>
        <v/>
      </c>
      <c r="Z6" s="7">
        <f>VLOOKUP(A6,'01_업체정보'!$A:$M,10,FALSE)</f>
        <v/>
      </c>
      <c r="AA6" s="7">
        <f>VLOOKUP(A6,'04_외부공개정보'!$A:$K,10,FALSE)</f>
        <v/>
      </c>
      <c r="AB6" s="11">
        <f>IF(OR(AA6="N",TRIM(Y6)="",Y6="확인필요",V6="Y",W6="Y",AND(T6="Y",U6=0)),"D-보류",IF(OR(X6="N",TRIM(Z6)="",Z6="확인필요",R6&lt;1,S6&gt;=30),"C-추가확인",Q6))</f>
        <v/>
      </c>
      <c r="AC6" s="17">
        <f>IF(TRIM(IF(OR(AA6="N",TRIM(Y6)="",Y6="확인필요"),"[사업자/실체 확인불가] ","")&amp;IF(V6="Y","[부정뉴스] ","")&amp;IF(W6="Y","[소송/미정산] ","")&amp;IF(AND(T6="Y",U6=0),"[무담보 Credit] ","")&amp;IF(X6="N","[웹사이트없음] ","")&amp;IF(TRIM(Z6)="","[대표자 확인불가] ","")&amp;IF(R6&lt;1,"[Deposit 부족] ","")&amp;IF(S6&gt;=30,"[정산 30일+] ",""))="","없음",IF(OR(AA6="N",TRIM(Y6)="",Y6="확인필요"),"[사업자/실체 확인불가] ","")&amp;IF(V6="Y","[부정뉴스] ","")&amp;IF(W6="Y","[소송/미정산] ","")&amp;IF(AND(T6="Y",U6=0),"[무담보 Credit] ","")&amp;IF(X6="N","[웹사이트없음] ","")&amp;IF(TRIM(Z6)="","[대표자 확인불가] ","")&amp;IF(R6&lt;1,"[Deposit 부족] ","")&amp;IF(S6&gt;=30,"[정산 30일+] ",""))</f>
        <v/>
      </c>
      <c r="AD6" s="19" t="inlineStr">
        <is>
          <t>중동 고객사 통한 태국 호텔 볼륨 증가 기대, Deposit USD 30,000로 상대적 견고</t>
        </is>
      </c>
      <c r="AE6" s="19" t="inlineStr">
        <is>
          <t>수기예약 비중·중동 정산/법무 리스크 확인 필요</t>
        </is>
      </c>
      <c r="AF6" s="19" t="inlineStr">
        <is>
          <t>종합 리스크 낮음. 초기 3개월 GMV 한도·모니터링 조건부 승인 추천</t>
        </is>
      </c>
    </row>
  </sheetData>
  <dataValidations count="1">
    <dataValidation sqref="C3:O50" showDropDown="0" showInputMessage="0" showErrorMessage="0" allowBlank="1" errorTitle="점수 범위" error="1~5 사이 정수를 입력하세요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</cols>
  <sheetData>
    <row r="1">
      <c r="B1" s="31" t="inlineStr">
        <is>
          <t>■ 신규 파트너 승인 요청서 (대표이사 보고용 · 자동 생성)</t>
        </is>
      </c>
    </row>
    <row r="2">
      <c r="B2" s="13" t="inlineStr">
        <is>
          <t>업체ID 선택 ▶</t>
        </is>
      </c>
      <c r="C2" s="14" t="inlineStr">
        <is>
          <t>C004</t>
        </is>
      </c>
    </row>
    <row r="4" ht="22" customHeight="1">
      <c r="B4" s="32" t="inlineStr">
        <is>
          <t>업체명</t>
        </is>
      </c>
      <c r="C4" s="17">
        <f>VLOOKUP($C$2,'01_업체정보'!$A:$M,2,FALSE)</f>
        <v/>
      </c>
    </row>
    <row r="5" ht="22" customHeight="1">
      <c r="B5" s="32" t="inlineStr">
        <is>
          <t>국가</t>
        </is>
      </c>
      <c r="C5" s="17">
        <f>VLOOKUP($C$2,'01_업체정보'!$A:$M,3,FALSE)</f>
        <v/>
      </c>
    </row>
    <row r="6" ht="22" customHeight="1">
      <c r="B6" s="32" t="inlineStr">
        <is>
          <t>사업유형</t>
        </is>
      </c>
      <c r="C6" s="17">
        <f>VLOOKUP($C$2,'01_업체정보'!$A:$M,4,FALSE)</f>
        <v/>
      </c>
    </row>
    <row r="7" ht="22" customHeight="1">
      <c r="B7" s="32" t="inlineStr">
        <is>
          <t>설립/대표</t>
        </is>
      </c>
      <c r="C7" s="17">
        <f>VLOOKUP($C$2,'01_업체정보'!$A:$M,9,FALSE)&amp;" / "&amp;VLOOKUP($C$2,'01_업체정보'!$A:$M,10,FALSE)</f>
        <v/>
      </c>
    </row>
    <row r="8" ht="22" customHeight="1">
      <c r="B8" s="32" t="inlineStr">
        <is>
          <t>Deposit</t>
        </is>
      </c>
      <c r="C8" s="17">
        <f>"USD "&amp;TEXT(VLOOKUP($C$2,'02_거래조건'!$A:$N,3,FALSE),"#,##0")</f>
        <v/>
      </c>
    </row>
    <row r="9" ht="22" customHeight="1">
      <c r="B9" s="32" t="inlineStr">
        <is>
          <t>정산주기</t>
        </is>
      </c>
      <c r="C9" s="17">
        <f>VLOOKUP($C$2,'02_거래조건'!$A:$N,4,FALSE)&amp;"일 / "&amp;VLOOKUP($C$2,'02_거래조건'!$A:$N,5,FALSE)</f>
        <v/>
      </c>
    </row>
    <row r="10" ht="22" customHeight="1">
      <c r="B10" s="32" t="inlineStr">
        <is>
          <t>예상 월거래액</t>
        </is>
      </c>
      <c r="C10" s="17">
        <f>"USD "&amp;TEXT(VLOOKUP($C$2,'02_거래조건'!$A:$N,7,FALSE),"#,##0")&amp;"  (Deposit 커버율 "&amp;TEXT(VLOOKUP($C$2,'02_거래조건'!$A:$N,14,FALSE),"0.00")&amp;"x)"</f>
        <v/>
      </c>
    </row>
    <row r="11" ht="22" customHeight="1">
      <c r="B11" s="32" t="inlineStr">
        <is>
          <t>주요상품</t>
        </is>
      </c>
      <c r="C11" s="17">
        <f>VLOOKUP($C$2,'02_거래조건'!$A:$N,9,FALSE)</f>
        <v/>
      </c>
    </row>
    <row r="12" ht="22" customHeight="1">
      <c r="B12" s="32" t="inlineStr">
        <is>
          <t>API/수기</t>
        </is>
      </c>
      <c r="C12" s="17">
        <f>VLOOKUP($C$2,'02_거래조건'!$A:$N,10,FALSE)&amp;" / "&amp;VLOOKUP($C$2,'02_거래조건'!$A:$N,11,FALSE)</f>
        <v/>
      </c>
    </row>
    <row r="13" ht="22" customHeight="1">
      <c r="B13" s="32" t="inlineStr">
        <is>
          <t>주요 엔드유저</t>
        </is>
      </c>
      <c r="C13" s="17">
        <f>VLOOKUP($C$2,'01_업체정보'!$A:$M,6,FALSE)</f>
        <v/>
      </c>
    </row>
    <row r="14" ht="22" customHeight="1">
      <c r="B14" s="32" t="inlineStr">
        <is>
          <t>리스크 점수</t>
        </is>
      </c>
      <c r="C14" s="17">
        <f>TEXT(VLOOKUP($C$2,'05_리스크평가'!$A:$AF,16,FALSE),"0.0")&amp;" / 100"</f>
        <v/>
      </c>
    </row>
    <row r="15" ht="22" customHeight="1">
      <c r="B15" s="32" t="inlineStr">
        <is>
          <t>자동 등급(점수)</t>
        </is>
      </c>
      <c r="C15" s="17">
        <f>VLOOKUP($C$2,'05_리스크평가'!$A:$AF,17,FALSE)</f>
        <v/>
      </c>
    </row>
    <row r="16" ht="22" customHeight="1">
      <c r="B16" s="33" t="inlineStr">
        <is>
          <t>★ 최종 판정</t>
        </is>
      </c>
      <c r="C16" s="33">
        <f>VLOOKUP($C$2,'05_리스크평가'!$A:$AF,28,FALSE)</f>
        <v/>
      </c>
    </row>
    <row r="17" ht="22" customHeight="1">
      <c r="B17" s="32" t="inlineStr">
        <is>
          <t>레드플래그</t>
        </is>
      </c>
      <c r="C17" s="17">
        <f>VLOOKUP($C$2,'05_리스크평가'!$A:$AF,29,FALSE)</f>
        <v/>
      </c>
    </row>
    <row r="18" ht="22" customHeight="1">
      <c r="B18" s="32" t="inlineStr">
        <is>
          <t>기대효과</t>
        </is>
      </c>
      <c r="C18" s="17">
        <f>VLOOKUP($C$2,'05_리스크평가'!$A:$AF,30,FALSE)</f>
        <v/>
      </c>
    </row>
    <row r="19" ht="22" customHeight="1">
      <c r="B19" s="32" t="inlineStr">
        <is>
          <t>주요 리스크/확인 필요</t>
        </is>
      </c>
      <c r="C19" s="17">
        <f>VLOOKUP($C$2,'05_리스크평가'!$A:$AF,31,FALSE)</f>
        <v/>
      </c>
    </row>
    <row r="20" ht="22" customHeight="1">
      <c r="B20" s="32" t="inlineStr">
        <is>
          <t>종합 의견</t>
        </is>
      </c>
      <c r="C20" s="17">
        <f>VLOOKUP($C$2,'05_리스크평가'!$A:$AF,32,FALSE)</f>
        <v/>
      </c>
    </row>
    <row r="22">
      <c r="B22" s="34" t="inlineStr">
        <is>
          <t>승인 요청 조건</t>
        </is>
      </c>
    </row>
    <row r="23">
      <c r="C23" s="17" t="inlineStr">
        <is>
          <t>□ Deposit 상향 (USD ___ → ___)</t>
        </is>
      </c>
    </row>
    <row r="24">
      <c r="C24" s="17" t="inlineStr">
        <is>
          <t>□ 정산주기 단축 (___일)</t>
        </is>
      </c>
    </row>
    <row r="25">
      <c r="C25" s="17" t="inlineStr">
        <is>
          <t>□ 초기 3개월 Credit 미부여</t>
        </is>
      </c>
    </row>
    <row r="26">
      <c r="C26" s="17" t="inlineStr">
        <is>
          <t>□ 월 GMV 한도 설정 (USD ___)</t>
        </is>
      </c>
    </row>
    <row r="28">
      <c r="B28" s="13" t="inlineStr">
        <is>
          <t>결재</t>
        </is>
      </c>
      <c r="C28" s="35" t="inlineStr">
        <is>
          <t>영업 □   SCM □   재무 □   개발 □   대표이사 □ (승인 / 보류 / 반려)</t>
        </is>
      </c>
    </row>
  </sheetData>
  <dataValidations count="1">
    <dataValidation sqref="C2" showDropDown="0" showInputMessage="0" showErrorMessage="0" allowBlank="0" type="list">
      <formula1>"C001,C002,C003,C004"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G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0" customWidth="1" min="5" max="5"/>
    <col width="34" customWidth="1" min="6" max="6"/>
    <col width="18" customWidth="1" min="7" max="7"/>
  </cols>
  <sheetData>
    <row r="1">
      <c r="A1" s="12" t="inlineStr">
        <is>
          <t>■ 07. 승인 워크플로우 이력 (단계별 기록)</t>
        </is>
      </c>
    </row>
    <row r="2">
      <c r="A2" s="5" t="inlineStr">
        <is>
          <t>업체ID</t>
        </is>
      </c>
      <c r="B2" s="5" t="inlineStr">
        <is>
          <t>업체명</t>
        </is>
      </c>
      <c r="C2" s="5" t="inlineStr">
        <is>
          <t>단계</t>
        </is>
      </c>
      <c r="D2" s="5" t="inlineStr">
        <is>
          <t>검토자</t>
        </is>
      </c>
      <c r="E2" s="5" t="inlineStr">
        <is>
          <t>결정</t>
        </is>
      </c>
      <c r="F2" s="5" t="inlineStr">
        <is>
          <t>코멘트</t>
        </is>
      </c>
      <c r="G2" s="5" t="inlineStr">
        <is>
          <t>일시(YYYY-MM-DD)</t>
        </is>
      </c>
    </row>
    <row r="3">
      <c r="A3" s="15" t="inlineStr">
        <is>
          <t>C004</t>
        </is>
      </c>
      <c r="B3" s="17" t="inlineStr">
        <is>
          <t>Happy Travel</t>
        </is>
      </c>
      <c r="C3" s="25" t="inlineStr">
        <is>
          <t>영업 1차입력</t>
        </is>
      </c>
      <c r="D3" s="17" t="inlineStr">
        <is>
          <t>Global OPs</t>
        </is>
      </c>
      <c r="E3" s="25" t="inlineStr">
        <is>
          <t>진행</t>
        </is>
      </c>
      <c r="F3" s="17" t="inlineStr">
        <is>
          <t>중동 태국호텔 볼륨 목적, Deposit 30k</t>
        </is>
      </c>
      <c r="G3" s="25" t="inlineStr">
        <is>
          <t>2026-06-25</t>
        </is>
      </c>
    </row>
    <row r="4">
      <c r="A4" s="15" t="inlineStr">
        <is>
          <t>C004</t>
        </is>
      </c>
      <c r="B4" s="17" t="inlineStr">
        <is>
          <t>Happy Travel</t>
        </is>
      </c>
      <c r="C4" s="25" t="inlineStr">
        <is>
          <t>SCM/운영 검토</t>
        </is>
      </c>
      <c r="D4" s="17" t="inlineStr">
        <is>
          <t>SCM팀</t>
        </is>
      </c>
      <c r="E4" s="25" t="inlineStr">
        <is>
          <t>진행</t>
        </is>
      </c>
      <c r="F4" s="17" t="inlineStr">
        <is>
          <t>엔드유저·인벤토리 적정</t>
        </is>
      </c>
      <c r="G4" s="25" t="inlineStr">
        <is>
          <t>2026-06-27</t>
        </is>
      </c>
    </row>
    <row r="5">
      <c r="A5" s="15" t="inlineStr">
        <is>
          <t>C004</t>
        </is>
      </c>
      <c r="B5" s="17" t="inlineStr">
        <is>
          <t>Happy Travel</t>
        </is>
      </c>
      <c r="C5" s="25" t="inlineStr">
        <is>
          <t>재무 정산검토</t>
        </is>
      </c>
      <c r="D5" s="17" t="inlineStr">
        <is>
          <t>재무팀</t>
        </is>
      </c>
      <c r="E5" s="25" t="inlineStr">
        <is>
          <t>진행</t>
        </is>
      </c>
      <c r="F5" s="17" t="inlineStr">
        <is>
          <t>커버율 1.07x, GMV 한도 조건</t>
        </is>
      </c>
      <c r="G5" s="25" t="inlineStr">
        <is>
          <t>2026-06-29</t>
        </is>
      </c>
    </row>
    <row r="6">
      <c r="A6" s="15" t="inlineStr">
        <is>
          <t>C001</t>
        </is>
      </c>
      <c r="B6" s="17" t="inlineStr">
        <is>
          <t>Huamao</t>
        </is>
      </c>
      <c r="C6" s="25" t="inlineStr">
        <is>
          <t>영업 1차입력</t>
        </is>
      </c>
      <c r="D6" s="17" t="inlineStr">
        <is>
          <t>Global OPs</t>
        </is>
      </c>
      <c r="E6" s="25" t="inlineStr">
        <is>
          <t>보류</t>
        </is>
      </c>
      <c r="F6" s="17" t="inlineStr">
        <is>
          <t>서류 미비·사업자 확인 필요</t>
        </is>
      </c>
      <c r="G6" s="25" t="inlineStr">
        <is>
          <t>2026-06-28</t>
        </is>
      </c>
    </row>
  </sheetData>
  <dataValidations count="2">
    <dataValidation sqref="C3:C100" showDropDown="0" showInputMessage="0" showErrorMessage="0" allowBlank="1" type="list">
      <formula1>"영업 1차입력,SCM/운영 검토,재무 정산검토,개발 API검토,대표이사 승인,3개월 모니터링"</formula1>
    </dataValidation>
    <dataValidation sqref="E3:E100" showDropDown="0" showInputMessage="0" showErrorMessage="0" allowBlank="1" type="list">
      <formula1>"진행,보류,반려,승인,조건부승인"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2026-07-01T09:44:22Z</dcterms:created>
  <dcterms:modified xmlns:dcterms="http://purl.org/dc/terms/" xmlns:xsi="http://www.w3.org/2001/XMLSchema-instance" xsi:type="dcterms:W3CDTF">2026-07-01T09:44:23Z</dcterms:modified>
</cp:coreProperties>
</file>